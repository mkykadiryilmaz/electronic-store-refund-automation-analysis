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Exploration" sheetId="2" r:id="rId6"/>
    <sheet state="visible" name="piv&amp;chart" sheetId="3" r:id="rId7"/>
    <sheet state="visible" name="Dashboard" sheetId="4" r:id="rId8"/>
    <sheet state="visible" name="Results" sheetId="5" r:id="rId9"/>
  </sheets>
  <definedNames>
    <definedName hidden="1" localSheetId="0" name="_xlnm._FilterDatabase">Sheet1!$A$1:$F$1023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<sst xmlns="http://schemas.openxmlformats.org/spreadsheetml/2006/main" count="175" uniqueCount="52">
  <si>
    <t>Order_ID</t>
  </si>
  <si>
    <t>Product</t>
  </si>
  <si>
    <t>Refund_Amount</t>
  </si>
  <si>
    <t>Return_Reason</t>
  </si>
  <si>
    <t>Date</t>
  </si>
  <si>
    <t>E-mail</t>
  </si>
  <si>
    <t>Mouse</t>
  </si>
  <si>
    <t>Shipping Damage</t>
  </si>
  <si>
    <t>jane_prob12@gmail.com</t>
  </si>
  <si>
    <t>Laptop</t>
  </si>
  <si>
    <t>kreag_loss@gmail.com</t>
  </si>
  <si>
    <t>Late Delivery</t>
  </si>
  <si>
    <t>ujahu.123@yahoo.com</t>
  </si>
  <si>
    <t>Laptop Cooler</t>
  </si>
  <si>
    <t>Wrong Product Send</t>
  </si>
  <si>
    <t>joseph.ura123@hotmail.com</t>
  </si>
  <si>
    <t>Keyboard</t>
  </si>
  <si>
    <t>gusaerm.123jk@gmail.com</t>
  </si>
  <si>
    <t>Speaker</t>
  </si>
  <si>
    <t>Defective Product</t>
  </si>
  <si>
    <t>araganasd12312@hotmail.com</t>
  </si>
  <si>
    <t>kadir.mky34@gmail.com</t>
  </si>
  <si>
    <t>orat_yugo456@yahoo.com</t>
  </si>
  <si>
    <t>koraklopo098@hotmail.com</t>
  </si>
  <si>
    <t>profkorp46574@gmail.com</t>
  </si>
  <si>
    <t>uhtaraw0912@hotmail.com</t>
  </si>
  <si>
    <t>zalemks9812@gmail.com</t>
  </si>
  <si>
    <t>adhusaher12312@yahoo.com</t>
  </si>
  <si>
    <t>torusjum937834_@yahoo.com</t>
  </si>
  <si>
    <t>kenanoyıldo3487347@hotmail.com</t>
  </si>
  <si>
    <t>vazlawcenyto34245@gmail.com</t>
  </si>
  <si>
    <t>emanuelogbaduo876fs@hotmail.com</t>
  </si>
  <si>
    <t>murıllopanamjksd778@gmail.com</t>
  </si>
  <si>
    <t>leyhs1nasın65@yahoo.com</t>
  </si>
  <si>
    <t>satashımakarato60k@gmail.com</t>
  </si>
  <si>
    <t>COUNTA of Return_Reason</t>
  </si>
  <si>
    <t>SUM of Refund_Amount</t>
  </si>
  <si>
    <t>Grand Total</t>
  </si>
  <si>
    <t>Mission</t>
  </si>
  <si>
    <t>Review of return reasons and amounts</t>
  </si>
  <si>
    <t>Main KPI</t>
  </si>
  <si>
    <t>Definition</t>
  </si>
  <si>
    <t>Why is it useful for the team?</t>
  </si>
  <si>
    <t>Total Refund</t>
  </si>
  <si>
    <t>Totaling the prices of all returned items</t>
  </si>
  <si>
    <t>What is the total refund amount?</t>
  </si>
  <si>
    <t>Main results of analysis</t>
  </si>
  <si>
    <t>The team responsible for packaging shipments should receive packaging training. New team members should focus more on this topic during orientation training.</t>
  </si>
  <si>
    <t>Develop reinforced packaging guidelines, especially for high-value electronics such as laptops.</t>
  </si>
  <si>
    <t>Add an additional verification layer for frequently returned items like mice.</t>
  </si>
  <si>
    <t>Establish delivery deadline tracking to reduce late delivery refunds.</t>
  </si>
  <si>
    <t>Track refund trends after training to measure impact.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</si>
</sst>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:mm:ss"/>
    <numFmt numFmtId="166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Return Reason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'piv&amp;chart'!$B$1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69138"/>
              </a:solidFill>
              <a:ln cmpd="sng">
                <a:solidFill>
                  <a:srgbClr val="E69138">
                    <a:alpha val="100000"/>
                  </a:srgbClr>
                </a:solidFill>
              </a:ln>
            </c:spPr>
          </c:dPt>
          <c:dPt>
            <c:idx val="1"/>
            <c:spPr>
              <a:solidFill>
                <a:srgbClr val="6AA84F"/>
              </a:solidFill>
              <a:ln cmpd="sng">
                <a:solidFill>
                  <a:srgbClr val="6AA84F">
                    <a:alpha val="100000"/>
                  </a:srgbClr>
                </a:solidFill>
              </a:ln>
            </c:spPr>
          </c:dPt>
          <c:dPt>
            <c:idx val="2"/>
            <c:spPr>
              <a:solidFill>
                <a:srgbClr val="0000FF"/>
              </a:solidFill>
              <a:ln cmpd="sng">
                <a:solidFill>
                  <a:srgbClr val="0000FF">
                    <a:alpha val="100000"/>
                  </a:srgbClr>
                </a:solidFill>
              </a:ln>
            </c:spPr>
          </c:dPt>
          <c:dPt>
            <c:idx val="3"/>
            <c:spPr>
              <a:solidFill>
                <a:srgbClr val="D5A6BD"/>
              </a:solidFill>
              <a:ln cmpd="sng">
                <a:solidFill>
                  <a:srgbClr val="D5A6BD">
                    <a:alpha val="100000"/>
                  </a:srgbClr>
                </a:solidFill>
              </a:ln>
            </c:spPr>
          </c:dPt>
          <c:cat>
            <c:strRef>
              <c:f>'piv&amp;chart'!$A$2:$A$5</c:f>
            </c:strRef>
          </c:cat>
          <c:val>
            <c:numRef>
              <c:f>'piv&amp;chart'!$B$2:$B$5</c:f>
              <c:numCache/>
            </c:numRef>
          </c:val>
        </c:ser>
        <c:axId val="1849239917"/>
        <c:axId val="1164246861"/>
      </c:barChart>
      <c:catAx>
        <c:axId val="18492399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layout>
            <c:manualLayout>
              <c:xMode val="edge"/>
              <c:yMode val="edge"/>
              <c:x val="0.06928580729166667"/>
              <c:y val="0.917654986522911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4246861"/>
      </c:catAx>
      <c:valAx>
        <c:axId val="11642468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92399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Refund Amount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'piv&amp;chart'!$G$1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FF00"/>
              </a:solidFill>
              <a:ln cmpd="sng">
                <a:solidFill>
                  <a:srgbClr val="FFFF00">
                    <a:alpha val="100000"/>
                  </a:srgbClr>
                </a:solidFill>
              </a:ln>
            </c:spPr>
          </c:dPt>
          <c:dPt>
            <c:idx val="1"/>
            <c:spPr>
              <a:solidFill>
                <a:srgbClr val="FF0000"/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dPt>
          <c:dPt>
            <c:idx val="2"/>
            <c:spPr>
              <a:solidFill>
                <a:srgbClr val="0000FF"/>
              </a:solidFill>
              <a:ln cmpd="sng">
                <a:solidFill>
                  <a:srgbClr val="0000FF">
                    <a:alpha val="100000"/>
                  </a:srgbClr>
                </a:solidFill>
              </a:ln>
            </c:spPr>
          </c:dPt>
          <c:dPt>
            <c:idx val="3"/>
            <c:spPr>
              <a:solidFill>
                <a:srgbClr val="00FF00"/>
              </a:solidFill>
              <a:ln cmpd="sng">
                <a:solidFill>
                  <a:srgbClr val="00FF00">
                    <a:alpha val="100000"/>
                  </a:srgbClr>
                </a:solidFill>
              </a:ln>
            </c:spPr>
          </c:dPt>
          <c:cat>
            <c:strRef>
              <c:f>'piv&amp;chart'!$F$2:$F$5</c:f>
            </c:strRef>
          </c:cat>
          <c:val>
            <c:numRef>
              <c:f>'piv&amp;chart'!$G$2:$G$5</c:f>
              <c:numCache/>
            </c:numRef>
          </c:val>
        </c:ser>
        <c:axId val="1453749397"/>
        <c:axId val="1582120742"/>
      </c:barChart>
      <c:catAx>
        <c:axId val="14537493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2120742"/>
      </c:catAx>
      <c:valAx>
        <c:axId val="15821207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37493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Return Product</a:t>
            </a:r>
          </a:p>
        </c:rich>
      </c:tx>
      <c:overlay val="0"/>
    </c:title>
    <c:plotArea>
      <c:layout/>
      <c:lineChart>
        <c:varyColors val="0"/>
        <c:ser>
          <c:idx val="1"/>
          <c:order val="1"/>
          <c:tx>
            <c:v>SUM of Return Product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'piv&amp;chart'!$A$23:$A$27</c:f>
            </c:strRef>
          </c:cat>
          <c:val>
            <c:numRef>
              <c:f>'piv&amp;chart'!$C$23:$C$27</c:f>
              <c:numCache/>
            </c:numRef>
          </c:val>
          <c:smooth val="0"/>
        </c:ser>
        <c:axId val="514952"/>
        <c:axId val="1725616615"/>
      </c:lineChart>
      <c:catAx>
        <c:axId val="514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5616615"/>
      </c:catAx>
      <c:valAx>
        <c:axId val="17256166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4952"/>
      </c:valAx>
      <c:barChart>
        <c:barDir val="col"/>
        <c:ser>
          <c:idx val="0"/>
          <c:order val="0"/>
          <c:tx>
            <c:v>Return Product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'piv&amp;chart'!$A$23:$A$27</c:f>
            </c:strRef>
          </c:cat>
          <c:val>
            <c:numRef>
              <c:f>'piv&amp;chart'!$B$23:$B$27</c:f>
              <c:numCache/>
            </c:numRef>
          </c:val>
        </c:ser>
        <c:axId val="2058805498"/>
        <c:axId val="9449338"/>
      </c:barChart>
      <c:catAx>
        <c:axId val="205880549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49338"/>
      </c:catAx>
      <c:valAx>
        <c:axId val="944933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880549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Return Reason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'piv&amp;chart'!$B$1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69138"/>
              </a:solidFill>
              <a:ln cmpd="sng">
                <a:solidFill>
                  <a:srgbClr val="E69138">
                    <a:alpha val="100000"/>
                  </a:srgbClr>
                </a:solidFill>
              </a:ln>
            </c:spPr>
          </c:dPt>
          <c:dPt>
            <c:idx val="1"/>
            <c:spPr>
              <a:solidFill>
                <a:srgbClr val="6AA84F"/>
              </a:solidFill>
              <a:ln cmpd="sng">
                <a:solidFill>
                  <a:srgbClr val="6AA84F">
                    <a:alpha val="100000"/>
                  </a:srgbClr>
                </a:solidFill>
              </a:ln>
            </c:spPr>
          </c:dPt>
          <c:dPt>
            <c:idx val="2"/>
            <c:spPr>
              <a:solidFill>
                <a:srgbClr val="0000FF"/>
              </a:solidFill>
              <a:ln cmpd="sng">
                <a:solidFill>
                  <a:srgbClr val="0000FF">
                    <a:alpha val="100000"/>
                  </a:srgbClr>
                </a:solidFill>
              </a:ln>
            </c:spPr>
          </c:dPt>
          <c:dPt>
            <c:idx val="3"/>
            <c:spPr>
              <a:solidFill>
                <a:srgbClr val="D5A6BD"/>
              </a:solidFill>
              <a:ln cmpd="sng">
                <a:solidFill>
                  <a:srgbClr val="D5A6BD">
                    <a:alpha val="100000"/>
                  </a:srgbClr>
                </a:solidFill>
              </a:ln>
            </c:spPr>
          </c:dPt>
          <c:cat>
            <c:strRef>
              <c:f>'piv&amp;chart'!$A$2:$A$5</c:f>
            </c:strRef>
          </c:cat>
          <c:val>
            <c:numRef>
              <c:f>'piv&amp;chart'!$B$2:$B$5</c:f>
              <c:numCache/>
            </c:numRef>
          </c:val>
        </c:ser>
        <c:axId val="1386028690"/>
        <c:axId val="770991079"/>
      </c:barChart>
      <c:catAx>
        <c:axId val="13860286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layout>
            <c:manualLayout>
              <c:xMode val="edge"/>
              <c:yMode val="edge"/>
              <c:x val="0.06928580729166667"/>
              <c:y val="0.917654986522911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0991079"/>
      </c:catAx>
      <c:valAx>
        <c:axId val="7709910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60286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Refund Amount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'piv&amp;chart'!$G$1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FF00"/>
              </a:solidFill>
              <a:ln cmpd="sng">
                <a:solidFill>
                  <a:srgbClr val="FFFF00">
                    <a:alpha val="100000"/>
                  </a:srgbClr>
                </a:solidFill>
              </a:ln>
            </c:spPr>
          </c:dPt>
          <c:dPt>
            <c:idx val="1"/>
            <c:spPr>
              <a:solidFill>
                <a:srgbClr val="FF0000"/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dPt>
          <c:dPt>
            <c:idx val="2"/>
            <c:spPr>
              <a:solidFill>
                <a:srgbClr val="0000FF"/>
              </a:solidFill>
              <a:ln cmpd="sng">
                <a:solidFill>
                  <a:srgbClr val="0000FF">
                    <a:alpha val="100000"/>
                  </a:srgbClr>
                </a:solidFill>
              </a:ln>
            </c:spPr>
          </c:dPt>
          <c:dPt>
            <c:idx val="3"/>
            <c:spPr>
              <a:solidFill>
                <a:srgbClr val="00FF00"/>
              </a:solidFill>
              <a:ln cmpd="sng">
                <a:solidFill>
                  <a:srgbClr val="00FF00">
                    <a:alpha val="100000"/>
                  </a:srgbClr>
                </a:solidFill>
              </a:ln>
            </c:spPr>
          </c:dPt>
          <c:cat>
            <c:strRef>
              <c:f>'piv&amp;chart'!$F$2:$F$5</c:f>
            </c:strRef>
          </c:cat>
          <c:val>
            <c:numRef>
              <c:f>'piv&amp;chart'!$G$2:$G$5</c:f>
              <c:numCache/>
            </c:numRef>
          </c:val>
        </c:ser>
        <c:axId val="2096169753"/>
        <c:axId val="1282922765"/>
      </c:barChart>
      <c:catAx>
        <c:axId val="2096169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2922765"/>
      </c:catAx>
      <c:valAx>
        <c:axId val="12829227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61697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Return Product</a:t>
            </a:r>
          </a:p>
        </c:rich>
      </c:tx>
      <c:overlay val="0"/>
    </c:title>
    <c:plotArea>
      <c:layout/>
      <c:lineChart>
        <c:varyColors val="0"/>
        <c:ser>
          <c:idx val="1"/>
          <c:order val="1"/>
          <c:tx>
            <c:v>SUM of Return Product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'piv&amp;chart'!$A$23:$A$27</c:f>
            </c:strRef>
          </c:cat>
          <c:val>
            <c:numRef>
              <c:f>'piv&amp;chart'!$C$23:$C$27</c:f>
              <c:numCache/>
            </c:numRef>
          </c:val>
          <c:smooth val="0"/>
        </c:ser>
        <c:axId val="2071220578"/>
        <c:axId val="1368819143"/>
      </c:lineChart>
      <c:catAx>
        <c:axId val="2071220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8819143"/>
      </c:catAx>
      <c:valAx>
        <c:axId val="13688191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1220578"/>
      </c:valAx>
      <c:barChart>
        <c:barDir val="col"/>
        <c:ser>
          <c:idx val="0"/>
          <c:order val="0"/>
          <c:tx>
            <c:v>Return Product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'piv&amp;chart'!$A$23:$A$27</c:f>
            </c:strRef>
          </c:cat>
          <c:val>
            <c:numRef>
              <c:f>'piv&amp;chart'!$B$23:$B$27</c:f>
              <c:numCache/>
            </c:numRef>
          </c:val>
        </c:ser>
        <c:axId val="421560859"/>
        <c:axId val="279929381"/>
      </c:barChart>
      <c:catAx>
        <c:axId val="4215608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9929381"/>
      </c:catAx>
      <c:valAx>
        <c:axId val="27992938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156085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Chart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9525</xdr:rowOff>
    </xdr:from>
    <xdr:ext cx="3733800" cy="23145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200025</xdr:colOff>
      <xdr:row>6</xdr:row>
      <xdr:rowOff>9525</xdr:rowOff>
    </xdr:from>
    <xdr:ext cx="4343400" cy="26765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28</xdr:row>
      <xdr:rowOff>38100</xdr:rowOff>
    </xdr:from>
    <xdr:ext cx="3952875" cy="24479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438150</xdr:colOff>
      <xdr:row>21</xdr:row>
      <xdr:rowOff>9525</xdr:rowOff>
    </xdr:from>
    <xdr:ext cx="3467100" cy="2143125"/>
    <xdr:pic>
      <xdr:nvPicPr>
        <xdr:cNvPr id="127568384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238125</xdr:colOff>
      <xdr:row>0</xdr:row>
      <xdr:rowOff>0</xdr:rowOff>
    </xdr:from>
    <xdr:ext cx="2247900" cy="1200150"/>
    <xdr:pic>
      <xdr:nvPicPr>
        <xdr:cNvPr id="360131627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9525</xdr:rowOff>
    </xdr:from>
    <xdr:ext cx="3733800" cy="23145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142875</xdr:colOff>
      <xdr:row>6</xdr:row>
      <xdr:rowOff>19050</xdr:rowOff>
    </xdr:from>
    <xdr:ext cx="4343400" cy="3152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800100</xdr:colOff>
      <xdr:row>6</xdr:row>
      <xdr:rowOff>19050</xdr:rowOff>
    </xdr:from>
    <xdr:ext cx="3952875" cy="24479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023" sheet="Exploration"/>
  </cacheSource>
  <cacheFields>
    <cacheField name="Order_ID" numFmtId="0">
      <sharedItems containsString="0" containsBlank="1" containsNumber="1" containsInteger="1">
        <n v="34.0"/>
        <n v="65.0"/>
        <n v="44.0"/>
        <n v="89.0"/>
        <n v="867.0"/>
        <n v="712.0"/>
        <n v="745.0"/>
        <n v="746.0"/>
        <n v="326.0"/>
        <n v="12.0"/>
        <n v="289.0"/>
        <n v="261.0"/>
        <n v="56.0"/>
        <n v="87.0"/>
        <n v="46.0"/>
        <n v="88.0"/>
        <n v="99.0"/>
        <n v="143.0"/>
        <n v="156.0"/>
        <n v="39.0"/>
        <n v="92.0"/>
        <m/>
      </sharedItems>
    </cacheField>
    <cacheField name="Product" numFmtId="0">
      <sharedItems containsBlank="1">
        <s v="Mouse"/>
        <s v="Laptop"/>
        <s v="Laptop Cooler"/>
        <s v="Keyboard"/>
        <s v="Speaker"/>
        <m/>
      </sharedItems>
    </cacheField>
    <cacheField name="Refund_Amount" numFmtId="0">
      <sharedItems containsString="0" containsBlank="1" containsNumber="1" containsInteger="1">
        <n v="799.0"/>
        <n v="30000.0"/>
        <n v="699.0"/>
        <n v="1099.0"/>
        <n v="4999.0"/>
        <n v="1199.0"/>
        <n v="50000.0"/>
        <n v="999.0"/>
        <n v="899.0"/>
        <n v="1299.0"/>
        <n v="1899.0"/>
        <m/>
      </sharedItems>
    </cacheField>
    <cacheField name="Return_Reason" numFmtId="0">
      <sharedItems containsBlank="1">
        <s v="Shipping Damage"/>
        <s v="Late Delivery"/>
        <s v="Wrong Product Send"/>
        <s v="Defective Product"/>
        <m/>
      </sharedItems>
    </cacheField>
    <cacheField name="Date" numFmtId="166">
      <sharedItems containsDate="1" containsString="0" containsBlank="1">
        <d v="2026-02-17T00:00:00Z"/>
        <m/>
      </sharedItems>
    </cacheField>
    <cacheField name="E-mail" numFmtId="0">
      <sharedItems containsBlank="1">
        <s v="jane_prob12@gmail.com"/>
        <s v="kreag_loss@gmail.com"/>
        <s v="ujahu.123@yahoo.com"/>
        <s v="joseph.ura123@hotmail.com"/>
        <s v="gusaerm.123jk@gmail.com"/>
        <s v="araganasd12312@hotmail.com"/>
        <s v="kadir.mky34@gmail.com"/>
        <s v="orat_yugo456@yahoo.com"/>
        <s v="koraklopo098@hotmail.com"/>
        <s v="profkorp46574@gmail.com"/>
        <s v="uhtaraw0912@hotmail.com"/>
        <s v="zalemks9812@gmail.com"/>
        <s v="adhusaher12312@yahoo.com"/>
        <s v="torusjum937834_@yahoo.com"/>
        <s v="kenanoyıldo3487347@hotmail.com"/>
        <s v="vazlawcenyto34245@gmail.com"/>
        <s v="emanuelogbaduo876fs@hotmail.com"/>
        <s v="murıllopanamjksd778@gmail.com"/>
        <s v="leyhs1nasın65@yahoo.com"/>
        <s v="satashımakarato60k@gmail.com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&amp;chart" cacheId="0" dataCaption="" compact="0" compactData="0">
  <location ref="A1:B6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fund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turn_Reason" axis="axisRow" dataField="1" compact="0" outline="0" multipleItemSelectionAllowed="1" showAll="0" sortType="ascending">
      <items>
        <item h="1" x="4"/>
        <item x="3"/>
        <item x="1"/>
        <item x="0"/>
        <item x="2"/>
        <item t="default"/>
      </items>
    </pivotField>
    <pivotField name="Date" compact="0" numFmtId="166" outline="0" multipleItemSelectionAllowed="1" showAll="0">
      <items>
        <item x="0"/>
        <item x="1"/>
        <item t="default"/>
      </items>
    </pivotField>
    <pivotField name="E-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3"/>
  </rowFields>
  <dataFields>
    <dataField name="COUNTA of Return_Reason" fld="3" subtotal="count" baseField="0"/>
  </dataFields>
</pivotTableDefinition>
</file>

<file path=xl/pivotTables/pivotTable2.xml><?xml version="1.0" encoding="utf-8"?>
<pivotTableDefinition xmlns="http://schemas.openxmlformats.org/spreadsheetml/2006/main" name="piv&amp;chart 2" cacheId="0" dataCaption="" compact="0" compactData="0">
  <location ref="F1:G6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fund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turn_Reason" axis="axisRow" compact="0" outline="0" multipleItemSelectionAllowed="1" showAll="0" sortType="ascending">
      <items>
        <item h="1" x="4"/>
        <item x="3"/>
        <item x="1"/>
        <item x="0"/>
        <item x="2"/>
        <item t="default"/>
      </items>
    </pivotField>
    <pivotField name="Date" compact="0" numFmtId="166" outline="0" multipleItemSelectionAllowed="1" showAll="0">
      <items>
        <item x="0"/>
        <item x="1"/>
        <item t="default"/>
      </items>
    </pivotField>
    <pivotField name="E-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3"/>
  </rowFields>
  <dataFields>
    <dataField name="SUM of Refund_Amount" fld="2" baseField="0"/>
  </dataFields>
</pivotTableDefinition>
</file>

<file path=xl/pivotTables/pivotTable3.xml><?xml version="1.0" encoding="utf-8"?>
<pivotTableDefinition xmlns="http://schemas.openxmlformats.org/spreadsheetml/2006/main" name="piv&amp;chart 3" cacheId="0" dataCaption="" compact="0" compactData="0">
  <location ref="A22:C28" firstHeaderRow="0" firstDataRow="2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Product" axis="axisRow" compact="0" outline="0" multipleItemSelectionAllowed="1" showAll="0" sortType="ascending">
      <items>
        <item h="1" x="5"/>
        <item x="3"/>
        <item x="1"/>
        <item x="2"/>
        <item x="0"/>
        <item x="4"/>
        <item t="default"/>
      </items>
    </pivotField>
    <pivotField name="Refund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turn_Reason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compact="0" numFmtId="166" outline="0" multipleItemSelectionAllowed="1" showAll="0">
      <items>
        <item x="0"/>
        <item x="1"/>
        <item t="default"/>
      </items>
    </pivotField>
    <pivotField name="E-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1"/>
  </rowFields>
  <colFields>
    <field x="-2"/>
  </colFields>
  <dataFields>
    <dataField name="COUNTA of Return_Reason" fld="3" subtotal="count" baseField="0"/>
    <dataField name="SUM of Refund_Am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3.63"/>
    <col customWidth="1" min="6" max="6" width="3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34.0</v>
      </c>
      <c r="B2" s="1" t="s">
        <v>6</v>
      </c>
      <c r="C2" s="1">
        <v>799.0</v>
      </c>
      <c r="D2" s="1" t="s">
        <v>7</v>
      </c>
      <c r="E2" s="1">
        <v>46070.0</v>
      </c>
      <c r="F2" s="1" t="s">
        <v>8</v>
      </c>
    </row>
    <row r="3">
      <c r="A3" s="1">
        <v>65.0</v>
      </c>
      <c r="B3" s="1" t="s">
        <v>9</v>
      </c>
      <c r="C3" s="1">
        <v>30000.0</v>
      </c>
      <c r="D3" s="1" t="s">
        <v>7</v>
      </c>
      <c r="E3" s="1">
        <v>46070.0</v>
      </c>
      <c r="F3" s="1" t="s">
        <v>10</v>
      </c>
    </row>
    <row r="4">
      <c r="A4" s="1">
        <v>44.0</v>
      </c>
      <c r="B4" s="1" t="s">
        <v>6</v>
      </c>
      <c r="C4" s="1">
        <v>699.0</v>
      </c>
      <c r="D4" s="1" t="s">
        <v>11</v>
      </c>
      <c r="E4" s="1">
        <v>46070.0</v>
      </c>
      <c r="F4" s="1" t="s">
        <v>12</v>
      </c>
    </row>
    <row r="5">
      <c r="A5" s="1">
        <v>89.0</v>
      </c>
      <c r="B5" s="1" t="s">
        <v>13</v>
      </c>
      <c r="C5" s="1">
        <v>1099.0</v>
      </c>
      <c r="D5" s="1" t="s">
        <v>14</v>
      </c>
      <c r="E5" s="1">
        <v>46070.0</v>
      </c>
      <c r="F5" s="1" t="s">
        <v>15</v>
      </c>
    </row>
    <row r="6">
      <c r="A6" s="1">
        <v>867.0</v>
      </c>
      <c r="B6" s="1" t="s">
        <v>16</v>
      </c>
      <c r="C6" s="1">
        <v>4999.0</v>
      </c>
      <c r="D6" s="1" t="s">
        <v>7</v>
      </c>
      <c r="E6" s="1">
        <v>46070.0</v>
      </c>
      <c r="F6" s="1" t="s">
        <v>17</v>
      </c>
    </row>
    <row r="7">
      <c r="A7" s="1">
        <v>712.0</v>
      </c>
      <c r="B7" s="1" t="s">
        <v>18</v>
      </c>
      <c r="C7" s="1">
        <v>1199.0</v>
      </c>
      <c r="D7" s="1" t="s">
        <v>19</v>
      </c>
      <c r="E7" s="1">
        <v>46070.0</v>
      </c>
      <c r="F7" s="1" t="s">
        <v>20</v>
      </c>
    </row>
    <row r="8">
      <c r="A8" s="1">
        <v>745.0</v>
      </c>
      <c r="B8" s="1" t="s">
        <v>9</v>
      </c>
      <c r="C8" s="1">
        <v>50000.0</v>
      </c>
      <c r="D8" s="1" t="s">
        <v>7</v>
      </c>
      <c r="E8" s="1">
        <v>46070.0</v>
      </c>
      <c r="F8" s="1" t="s">
        <v>21</v>
      </c>
    </row>
    <row r="9">
      <c r="A9" s="1">
        <v>746.0</v>
      </c>
      <c r="B9" s="1" t="s">
        <v>6</v>
      </c>
      <c r="C9" s="1">
        <v>999.0</v>
      </c>
      <c r="D9" s="1" t="s">
        <v>7</v>
      </c>
      <c r="E9" s="1">
        <v>46070.0</v>
      </c>
      <c r="F9" s="1" t="s">
        <v>21</v>
      </c>
    </row>
    <row r="10">
      <c r="A10" s="1">
        <v>326.0</v>
      </c>
      <c r="B10" s="1" t="s">
        <v>13</v>
      </c>
      <c r="C10" s="1">
        <v>899.0</v>
      </c>
      <c r="D10" s="1" t="s">
        <v>7</v>
      </c>
      <c r="E10" s="1">
        <v>46070.0</v>
      </c>
      <c r="F10" s="1" t="s">
        <v>22</v>
      </c>
    </row>
    <row r="11">
      <c r="A11" s="1">
        <v>12.0</v>
      </c>
      <c r="B11" s="1" t="s">
        <v>16</v>
      </c>
      <c r="C11" s="1">
        <v>1299.0</v>
      </c>
      <c r="D11" s="1" t="s">
        <v>7</v>
      </c>
      <c r="E11" s="1">
        <v>46070.0</v>
      </c>
      <c r="F11" s="1" t="s">
        <v>23</v>
      </c>
    </row>
    <row r="12">
      <c r="A12" s="1">
        <v>289.0</v>
      </c>
      <c r="B12" s="1" t="s">
        <v>6</v>
      </c>
      <c r="C12" s="1">
        <v>999.0</v>
      </c>
      <c r="D12" s="1" t="s">
        <v>11</v>
      </c>
      <c r="E12" s="1">
        <v>46070.0</v>
      </c>
      <c r="F12" s="1" t="s">
        <v>24</v>
      </c>
    </row>
    <row r="13">
      <c r="A13" s="1">
        <v>261.0</v>
      </c>
      <c r="B13" s="1" t="s">
        <v>18</v>
      </c>
      <c r="C13" s="1">
        <v>899.0</v>
      </c>
      <c r="D13" s="1" t="s">
        <v>7</v>
      </c>
      <c r="E13" s="1">
        <v>46070.0</v>
      </c>
      <c r="F13" s="1" t="s">
        <v>25</v>
      </c>
    </row>
    <row r="14">
      <c r="A14" s="1">
        <v>56.0</v>
      </c>
      <c r="B14" s="1" t="s">
        <v>6</v>
      </c>
      <c r="C14" s="1">
        <v>699.0</v>
      </c>
      <c r="D14" s="1" t="s">
        <v>11</v>
      </c>
      <c r="E14" s="1">
        <v>46070.0</v>
      </c>
      <c r="F14" s="1" t="s">
        <v>26</v>
      </c>
    </row>
    <row r="15">
      <c r="A15" s="1">
        <v>87.0</v>
      </c>
      <c r="B15" s="1" t="s">
        <v>13</v>
      </c>
      <c r="C15" s="1">
        <v>1299.0</v>
      </c>
      <c r="D15" s="1" t="s">
        <v>7</v>
      </c>
      <c r="E15" s="1">
        <v>46070.0</v>
      </c>
      <c r="F15" s="1" t="s">
        <v>27</v>
      </c>
    </row>
    <row r="16">
      <c r="A16" s="1">
        <v>46.0</v>
      </c>
      <c r="B16" s="1" t="s">
        <v>16</v>
      </c>
      <c r="C16" s="1">
        <v>999.0</v>
      </c>
      <c r="D16" s="1" t="s">
        <v>7</v>
      </c>
      <c r="E16" s="1">
        <v>46070.0</v>
      </c>
      <c r="F16" s="1" t="s">
        <v>28</v>
      </c>
    </row>
    <row r="17">
      <c r="A17" s="1">
        <v>88.0</v>
      </c>
      <c r="B17" s="1" t="s">
        <v>13</v>
      </c>
      <c r="C17" s="1">
        <v>1299.0</v>
      </c>
      <c r="D17" s="1" t="s">
        <v>11</v>
      </c>
      <c r="E17" s="1">
        <v>46070.0</v>
      </c>
      <c r="F17" s="1" t="s">
        <v>29</v>
      </c>
    </row>
    <row r="18">
      <c r="A18" s="1">
        <v>99.0</v>
      </c>
      <c r="B18" s="1" t="s">
        <v>6</v>
      </c>
      <c r="C18" s="1">
        <v>999.0</v>
      </c>
      <c r="D18" s="1" t="s">
        <v>11</v>
      </c>
      <c r="E18" s="1">
        <v>46070.0</v>
      </c>
      <c r="F18" s="1" t="s">
        <v>30</v>
      </c>
    </row>
    <row r="19">
      <c r="A19" s="1">
        <v>143.0</v>
      </c>
      <c r="B19" s="1" t="s">
        <v>18</v>
      </c>
      <c r="C19" s="1">
        <v>999.0</v>
      </c>
      <c r="D19" s="1" t="s">
        <v>11</v>
      </c>
      <c r="E19" s="1">
        <v>46070.0</v>
      </c>
      <c r="F19" s="1" t="s">
        <v>31</v>
      </c>
    </row>
    <row r="20">
      <c r="A20" s="1">
        <v>156.0</v>
      </c>
      <c r="B20" s="1" t="s">
        <v>16</v>
      </c>
      <c r="C20" s="1">
        <v>1299.0</v>
      </c>
      <c r="D20" s="1" t="s">
        <v>7</v>
      </c>
      <c r="E20" s="1">
        <v>46070.0</v>
      </c>
      <c r="F20" s="1" t="s">
        <v>32</v>
      </c>
    </row>
    <row r="21">
      <c r="A21" s="1">
        <v>39.0</v>
      </c>
      <c r="B21" s="1" t="s">
        <v>6</v>
      </c>
      <c r="C21" s="1">
        <v>1299.0</v>
      </c>
      <c r="D21" s="1" t="s">
        <v>7</v>
      </c>
      <c r="E21" s="1">
        <v>46070.0</v>
      </c>
      <c r="F21" s="1" t="s">
        <v>33</v>
      </c>
    </row>
    <row r="22">
      <c r="A22" s="1">
        <v>92.0</v>
      </c>
      <c r="B22" s="1" t="s">
        <v>13</v>
      </c>
      <c r="C22" s="1">
        <v>1899.0</v>
      </c>
      <c r="D22" s="1" t="s">
        <v>19</v>
      </c>
      <c r="E22" s="1">
        <v>46070.0</v>
      </c>
      <c r="F22" s="1" t="s">
        <v>34</v>
      </c>
    </row>
    <row r="23">
      <c r="E23" s="2"/>
    </row>
    <row r="24">
      <c r="E24" s="3"/>
    </row>
  </sheetData>
  <autoFilter ref="$A$1:$F$102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34.0</v>
      </c>
      <c r="B2" s="1" t="s">
        <v>6</v>
      </c>
      <c r="C2" s="1">
        <v>799.0</v>
      </c>
      <c r="D2" s="1" t="s">
        <v>7</v>
      </c>
      <c r="E2" s="4">
        <v>46070.0</v>
      </c>
      <c r="F2" s="1" t="s">
        <v>8</v>
      </c>
    </row>
    <row r="3">
      <c r="A3" s="1">
        <v>65.0</v>
      </c>
      <c r="B3" s="1" t="s">
        <v>9</v>
      </c>
      <c r="C3" s="1">
        <v>30000.0</v>
      </c>
      <c r="D3" s="1" t="s">
        <v>7</v>
      </c>
      <c r="E3" s="4">
        <v>46070.0</v>
      </c>
      <c r="F3" s="1" t="s">
        <v>10</v>
      </c>
    </row>
    <row r="4">
      <c r="A4" s="1">
        <v>44.0</v>
      </c>
      <c r="B4" s="1" t="s">
        <v>6</v>
      </c>
      <c r="C4" s="1">
        <v>699.0</v>
      </c>
      <c r="D4" s="1" t="s">
        <v>11</v>
      </c>
      <c r="E4" s="4">
        <v>46070.0</v>
      </c>
      <c r="F4" s="1" t="s">
        <v>12</v>
      </c>
    </row>
    <row r="5">
      <c r="A5" s="1">
        <v>89.0</v>
      </c>
      <c r="B5" s="1" t="s">
        <v>13</v>
      </c>
      <c r="C5" s="1">
        <v>1099.0</v>
      </c>
      <c r="D5" s="1" t="s">
        <v>14</v>
      </c>
      <c r="E5" s="4">
        <v>46070.0</v>
      </c>
      <c r="F5" s="1" t="s">
        <v>15</v>
      </c>
    </row>
    <row r="6">
      <c r="A6" s="1">
        <v>867.0</v>
      </c>
      <c r="B6" s="1" t="s">
        <v>16</v>
      </c>
      <c r="C6" s="1">
        <v>4999.0</v>
      </c>
      <c r="D6" s="1" t="s">
        <v>7</v>
      </c>
      <c r="E6" s="4">
        <v>46070.0</v>
      </c>
      <c r="F6" s="1" t="s">
        <v>17</v>
      </c>
    </row>
    <row r="7">
      <c r="A7" s="1">
        <v>712.0</v>
      </c>
      <c r="B7" s="1" t="s">
        <v>18</v>
      </c>
      <c r="C7" s="1">
        <v>1199.0</v>
      </c>
      <c r="D7" s="1" t="s">
        <v>19</v>
      </c>
      <c r="E7" s="4">
        <v>46070.0</v>
      </c>
      <c r="F7" s="1" t="s">
        <v>20</v>
      </c>
    </row>
    <row r="8">
      <c r="A8" s="1">
        <v>745.0</v>
      </c>
      <c r="B8" s="1" t="s">
        <v>9</v>
      </c>
      <c r="C8" s="1">
        <v>50000.0</v>
      </c>
      <c r="D8" s="1" t="s">
        <v>7</v>
      </c>
      <c r="E8" s="4">
        <v>46070.0</v>
      </c>
      <c r="F8" s="1" t="s">
        <v>21</v>
      </c>
    </row>
    <row r="9">
      <c r="A9" s="1">
        <v>746.0</v>
      </c>
      <c r="B9" s="1" t="s">
        <v>6</v>
      </c>
      <c r="C9" s="1">
        <v>999.0</v>
      </c>
      <c r="D9" s="1" t="s">
        <v>7</v>
      </c>
      <c r="E9" s="4">
        <v>46070.0</v>
      </c>
      <c r="F9" s="1" t="s">
        <v>21</v>
      </c>
    </row>
    <row r="10">
      <c r="A10" s="1">
        <v>326.0</v>
      </c>
      <c r="B10" s="1" t="s">
        <v>13</v>
      </c>
      <c r="C10" s="1">
        <v>899.0</v>
      </c>
      <c r="D10" s="1" t="s">
        <v>7</v>
      </c>
      <c r="E10" s="4">
        <v>46070.0</v>
      </c>
      <c r="F10" s="1" t="s">
        <v>22</v>
      </c>
    </row>
    <row r="11">
      <c r="A11" s="1">
        <v>12.0</v>
      </c>
      <c r="B11" s="1" t="s">
        <v>16</v>
      </c>
      <c r="C11" s="1">
        <v>1299.0</v>
      </c>
      <c r="D11" s="1" t="s">
        <v>7</v>
      </c>
      <c r="E11" s="4">
        <v>46070.0</v>
      </c>
      <c r="F11" s="1" t="s">
        <v>23</v>
      </c>
    </row>
    <row r="12">
      <c r="A12" s="1">
        <v>289.0</v>
      </c>
      <c r="B12" s="1" t="s">
        <v>6</v>
      </c>
      <c r="C12" s="1">
        <v>999.0</v>
      </c>
      <c r="D12" s="1" t="s">
        <v>11</v>
      </c>
      <c r="E12" s="4">
        <v>46070.0</v>
      </c>
      <c r="F12" s="1" t="s">
        <v>24</v>
      </c>
    </row>
    <row r="13">
      <c r="A13" s="1">
        <v>261.0</v>
      </c>
      <c r="B13" s="1" t="s">
        <v>18</v>
      </c>
      <c r="C13" s="1">
        <v>899.0</v>
      </c>
      <c r="D13" s="1" t="s">
        <v>7</v>
      </c>
      <c r="E13" s="4">
        <v>46070.0</v>
      </c>
      <c r="F13" s="1" t="s">
        <v>25</v>
      </c>
    </row>
    <row r="14">
      <c r="A14" s="1">
        <v>56.0</v>
      </c>
      <c r="B14" s="1" t="s">
        <v>6</v>
      </c>
      <c r="C14" s="1">
        <v>699.0</v>
      </c>
      <c r="D14" s="1" t="s">
        <v>11</v>
      </c>
      <c r="E14" s="4">
        <v>46070.0</v>
      </c>
      <c r="F14" s="1" t="s">
        <v>26</v>
      </c>
    </row>
    <row r="15">
      <c r="A15" s="1">
        <v>87.0</v>
      </c>
      <c r="B15" s="1" t="s">
        <v>13</v>
      </c>
      <c r="C15" s="1">
        <v>1299.0</v>
      </c>
      <c r="D15" s="1" t="s">
        <v>7</v>
      </c>
      <c r="E15" s="4">
        <v>46070.0</v>
      </c>
      <c r="F15" s="1" t="s">
        <v>27</v>
      </c>
    </row>
    <row r="16">
      <c r="A16" s="1">
        <v>46.0</v>
      </c>
      <c r="B16" s="1" t="s">
        <v>16</v>
      </c>
      <c r="C16" s="1">
        <v>999.0</v>
      </c>
      <c r="D16" s="1" t="s">
        <v>7</v>
      </c>
      <c r="E16" s="4">
        <v>46070.0</v>
      </c>
      <c r="F16" s="1" t="s">
        <v>28</v>
      </c>
    </row>
    <row r="17">
      <c r="A17" s="1">
        <v>88.0</v>
      </c>
      <c r="B17" s="1" t="s">
        <v>13</v>
      </c>
      <c r="C17" s="1">
        <v>1299.0</v>
      </c>
      <c r="D17" s="1" t="s">
        <v>11</v>
      </c>
      <c r="E17" s="4">
        <v>46070.0</v>
      </c>
      <c r="F17" s="1" t="s">
        <v>29</v>
      </c>
    </row>
    <row r="18">
      <c r="A18" s="1">
        <v>99.0</v>
      </c>
      <c r="B18" s="1" t="s">
        <v>6</v>
      </c>
      <c r="C18" s="1">
        <v>999.0</v>
      </c>
      <c r="D18" s="1" t="s">
        <v>11</v>
      </c>
      <c r="E18" s="4">
        <v>46070.0</v>
      </c>
      <c r="F18" s="1" t="s">
        <v>30</v>
      </c>
    </row>
    <row r="19">
      <c r="A19" s="1">
        <v>143.0</v>
      </c>
      <c r="B19" s="1" t="s">
        <v>18</v>
      </c>
      <c r="C19" s="1">
        <v>999.0</v>
      </c>
      <c r="D19" s="1" t="s">
        <v>11</v>
      </c>
      <c r="E19" s="4">
        <v>46070.0</v>
      </c>
      <c r="F19" s="1" t="s">
        <v>31</v>
      </c>
    </row>
    <row r="20">
      <c r="A20" s="1">
        <v>156.0</v>
      </c>
      <c r="B20" s="1" t="s">
        <v>16</v>
      </c>
      <c r="C20" s="1">
        <v>1299.0</v>
      </c>
      <c r="D20" s="1" t="s">
        <v>7</v>
      </c>
      <c r="E20" s="4">
        <v>46070.0</v>
      </c>
      <c r="F20" s="1" t="s">
        <v>32</v>
      </c>
    </row>
    <row r="21">
      <c r="A21" s="1">
        <v>39.0</v>
      </c>
      <c r="B21" s="1" t="s">
        <v>6</v>
      </c>
      <c r="C21" s="1">
        <v>1299.0</v>
      </c>
      <c r="D21" s="1" t="s">
        <v>7</v>
      </c>
      <c r="E21" s="4">
        <v>46070.0</v>
      </c>
      <c r="F21" s="1" t="s">
        <v>33</v>
      </c>
    </row>
    <row r="22">
      <c r="A22" s="1">
        <v>92.0</v>
      </c>
      <c r="B22" s="1" t="s">
        <v>13</v>
      </c>
      <c r="C22" s="1">
        <v>1899.0</v>
      </c>
      <c r="D22" s="1" t="s">
        <v>19</v>
      </c>
      <c r="E22" s="4">
        <v>46070.0</v>
      </c>
      <c r="F22" s="1" t="s">
        <v>34</v>
      </c>
    </row>
    <row r="23">
      <c r="E23" s="2"/>
    </row>
    <row r="24">
      <c r="E24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22"/>
    <row r="23"/>
    <row r="24"/>
    <row r="25"/>
    <row r="26"/>
    <row r="27"/>
    <row r="28"/>
  </sheetData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34.75"/>
    <col customWidth="1" min="3" max="3" width="33.13"/>
  </cols>
  <sheetData>
    <row r="1">
      <c r="A1" s="6" t="s">
        <v>38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>
      <c r="A2" s="1" t="s">
        <v>39</v>
      </c>
    </row>
    <row r="4">
      <c r="A4" s="6" t="s">
        <v>40</v>
      </c>
      <c r="B4" s="6" t="s">
        <v>41</v>
      </c>
      <c r="C4" s="6" t="s">
        <v>42</v>
      </c>
      <c r="D4" s="7"/>
      <c r="E4" s="7"/>
      <c r="F4" s="7"/>
      <c r="G4" s="7"/>
      <c r="H4" s="7"/>
      <c r="I4" s="7"/>
      <c r="J4" s="7"/>
      <c r="K4" s="7"/>
    </row>
    <row r="5">
      <c r="A5" s="1" t="s">
        <v>43</v>
      </c>
      <c r="B5" s="1" t="s">
        <v>44</v>
      </c>
      <c r="C5" s="1" t="s">
        <v>45</v>
      </c>
    </row>
    <row r="7">
      <c r="A7" s="6" t="s">
        <v>46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>
      <c r="A8" s="1" t="s">
        <v>47</v>
      </c>
    </row>
    <row r="9">
      <c r="A9" s="1" t="s">
        <v>48</v>
      </c>
    </row>
    <row r="10">
      <c r="A10" s="1" t="s">
        <v>49</v>
      </c>
    </row>
    <row r="11">
      <c r="A11" s="1" t="s">
        <v>50</v>
      </c>
    </row>
    <row r="12">
      <c r="A12" s="1" t="s">
        <v>51</v>
      </c>
    </row>
  </sheetData>
  <drawing r:id="rId1"/>
</worksheet>
</file>